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cto\AppData\Local\Temp\claude\C--Users-victo-Desktop-Thesis---ML-Assisted-Self-Healing-of-a-Mining-Distribution-Feeder-with-Selective-Fault-Isolation-Project-matlab\f36e8306-f80a-422e-8a50-9ae99e535c94\scratchpad\"/>
    </mc:Choice>
  </mc:AlternateContent>
  <xr:revisionPtr revIDLastSave="0" documentId="13_ncr:1_{6BA04157-D06F-4712-83E3-48C6ED1EC02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ject Plan" sheetId="1" r:id="rId1"/>
  </sheets>
  <definedNames>
    <definedName name="_xlnm.Print_Area" localSheetId="0">'Project Plan'!$A$1:$O$62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L26" i="1"/>
  <c r="K26" i="1"/>
  <c r="I26" i="1"/>
  <c r="G26" i="1"/>
  <c r="O25" i="1"/>
  <c r="L25" i="1"/>
  <c r="K25" i="1"/>
  <c r="I25" i="1"/>
  <c r="G25" i="1"/>
  <c r="O24" i="1"/>
  <c r="L24" i="1"/>
  <c r="M24" i="1" s="1"/>
  <c r="N24" i="1" s="1"/>
  <c r="K24" i="1"/>
  <c r="I24" i="1"/>
  <c r="G24" i="1"/>
  <c r="H23" i="1" s="1"/>
  <c r="I23" i="1" s="1"/>
  <c r="O23" i="1"/>
  <c r="F23" i="1"/>
  <c r="E23" i="1"/>
  <c r="K23" i="1" s="1"/>
  <c r="O22" i="1"/>
  <c r="K22" i="1"/>
  <c r="I22" i="1"/>
  <c r="G22" i="1"/>
  <c r="L22" i="1" s="1"/>
  <c r="O21" i="1"/>
  <c r="K21" i="1"/>
  <c r="I21" i="1"/>
  <c r="G21" i="1"/>
  <c r="L21" i="1" s="1"/>
  <c r="M21" i="1" s="1"/>
  <c r="N21" i="1" s="1"/>
  <c r="O20" i="1"/>
  <c r="L20" i="1"/>
  <c r="M20" i="1" s="1"/>
  <c r="N20" i="1" s="1"/>
  <c r="K20" i="1"/>
  <c r="I20" i="1"/>
  <c r="G20" i="1"/>
  <c r="O19" i="1"/>
  <c r="L19" i="1"/>
  <c r="K19" i="1"/>
  <c r="I19" i="1"/>
  <c r="G19" i="1"/>
  <c r="O18" i="1"/>
  <c r="K18" i="1"/>
  <c r="I18" i="1"/>
  <c r="G18" i="1"/>
  <c r="H17" i="1" s="1"/>
  <c r="I17" i="1" s="1"/>
  <c r="O17" i="1"/>
  <c r="F17" i="1"/>
  <c r="E17" i="1"/>
  <c r="K17" i="1" s="1"/>
  <c r="O16" i="1"/>
  <c r="L16" i="1"/>
  <c r="K16" i="1"/>
  <c r="I16" i="1"/>
  <c r="G16" i="1"/>
  <c r="O15" i="1"/>
  <c r="K15" i="1"/>
  <c r="I15" i="1"/>
  <c r="G15" i="1"/>
  <c r="L15" i="1" s="1"/>
  <c r="O14" i="1"/>
  <c r="L14" i="1"/>
  <c r="M14" i="1" s="1"/>
  <c r="N14" i="1" s="1"/>
  <c r="K14" i="1"/>
  <c r="I14" i="1"/>
  <c r="G14" i="1"/>
  <c r="O13" i="1"/>
  <c r="M13" i="1"/>
  <c r="N13" i="1" s="1"/>
  <c r="L13" i="1"/>
  <c r="K13" i="1"/>
  <c r="I13" i="1"/>
  <c r="G13" i="1"/>
  <c r="O12" i="1"/>
  <c r="K12" i="1"/>
  <c r="I12" i="1"/>
  <c r="G12" i="1"/>
  <c r="L12" i="1" s="1"/>
  <c r="O11" i="1"/>
  <c r="L11" i="1"/>
  <c r="K11" i="1"/>
  <c r="I11" i="1"/>
  <c r="G11" i="1"/>
  <c r="O10" i="1"/>
  <c r="F10" i="1"/>
  <c r="G10" i="1" s="1"/>
  <c r="E10" i="1"/>
  <c r="K10" i="1" s="1"/>
  <c r="G7" i="1"/>
  <c r="C5" i="1"/>
  <c r="H10" i="1" l="1"/>
  <c r="I10" i="1" s="1"/>
  <c r="G17" i="1"/>
  <c r="L17" i="1" s="1"/>
  <c r="M17" i="1" s="1"/>
  <c r="N17" i="1" s="1"/>
  <c r="G23" i="1"/>
  <c r="L23" i="1" s="1"/>
  <c r="M23" i="1" s="1"/>
  <c r="N23" i="1" s="1"/>
  <c r="C6" i="1"/>
  <c r="C7" i="1" s="1"/>
  <c r="L18" i="1"/>
  <c r="M22" i="1"/>
  <c r="N22" i="1" s="1"/>
  <c r="N25" i="1"/>
  <c r="L10" i="1"/>
  <c r="G6" i="1"/>
  <c r="N16" i="1"/>
  <c r="N18" i="1"/>
  <c r="M12" i="1"/>
  <c r="N12" i="1" s="1"/>
  <c r="M16" i="1"/>
  <c r="M19" i="1"/>
  <c r="N19" i="1" s="1"/>
  <c r="M26" i="1"/>
  <c r="N26" i="1" s="1"/>
  <c r="M11" i="1"/>
  <c r="N11" i="1" s="1"/>
  <c r="M15" i="1"/>
  <c r="N15" i="1" s="1"/>
  <c r="M18" i="1"/>
  <c r="M25" i="1"/>
  <c r="M10" i="1" l="1"/>
  <c r="N10" i="1" s="1"/>
</calcChain>
</file>

<file path=xl/sharedStrings.xml><?xml version="1.0" encoding="utf-8"?>
<sst xmlns="http://schemas.openxmlformats.org/spreadsheetml/2006/main" count="116" uniqueCount="81">
  <si>
    <t>Project Development Plan and Gantt Chart</t>
  </si>
  <si>
    <t>ML-Assisted Self-Healing of a Mining Distribution Feeder with Selective Fault Isolation</t>
  </si>
  <si>
    <t>BEng Thesis - Victoire C. Chimundu</t>
  </si>
  <si>
    <t>Project start</t>
  </si>
  <si>
    <t>Status date</t>
  </si>
  <si>
    <t>Project finish</t>
  </si>
  <si>
    <t>Overall complete</t>
  </si>
  <si>
    <t>Total duration (calendar days)</t>
  </si>
  <si>
    <t>Tasks / milestones</t>
  </si>
  <si>
    <t>Chart data - do not edit</t>
  </si>
  <si>
    <t>WBS</t>
  </si>
  <si>
    <t>Task / milestone</t>
  </si>
  <si>
    <t>Type</t>
  </si>
  <si>
    <t>Pred.</t>
  </si>
  <si>
    <t>Start</t>
  </si>
  <si>
    <t>Finish</t>
  </si>
  <si>
    <t>Days</t>
  </si>
  <si>
    <t>%</t>
  </si>
  <si>
    <t>Status</t>
  </si>
  <si>
    <t>Evidence in thesis</t>
  </si>
  <si>
    <t>Plot start</t>
  </si>
  <si>
    <t>Plot days</t>
  </si>
  <si>
    <t>Complete</t>
  </si>
  <si>
    <t>Remaining</t>
  </si>
  <si>
    <t>Chart label</t>
  </si>
  <si>
    <t>1</t>
  </si>
  <si>
    <t>Conception and proposal</t>
  </si>
  <si>
    <t>Phase</t>
  </si>
  <si>
    <t>-</t>
  </si>
  <si>
    <t>Chapter 1</t>
  </si>
  <si>
    <t>1.1</t>
  </si>
  <si>
    <t xml:space="preserve">  Topic conception (after KCM site visit)</t>
  </si>
  <si>
    <t>Task</t>
  </si>
  <si>
    <t>Section 1.1</t>
  </si>
  <si>
    <t>1.2</t>
  </si>
  <si>
    <t xml:space="preserve">  FYP proposal development</t>
  </si>
  <si>
    <t>Sections 1.2-1.4</t>
  </si>
  <si>
    <t>M1</t>
  </si>
  <si>
    <t xml:space="preserve">  Proposal submitted</t>
  </si>
  <si>
    <t>Milestone</t>
  </si>
  <si>
    <t>1.3</t>
  </si>
  <si>
    <t xml:space="preserve">  Concept development and refinement</t>
  </si>
  <si>
    <t>Chapter 2; Section 2.5</t>
  </si>
  <si>
    <t>1.4</t>
  </si>
  <si>
    <t xml:space="preserve">  Scope simplification and title finalisation</t>
  </si>
  <si>
    <t>Section 1.5</t>
  </si>
  <si>
    <t>M2</t>
  </si>
  <si>
    <t xml:space="preserve">  Title and scope finalised</t>
  </si>
  <si>
    <t>2</t>
  </si>
  <si>
    <t>Modelling, dataset and machine learning</t>
  </si>
  <si>
    <t>Chapters 3-5</t>
  </si>
  <si>
    <t>2.1</t>
  </si>
  <si>
    <t xml:space="preserve">  Feeder Simulink modelling</t>
  </si>
  <si>
    <t>Chapter 4; Sections 4.2-4.5</t>
  </si>
  <si>
    <t>2.2</t>
  </si>
  <si>
    <t xml:space="preserve">  Topology rebuild and dataset generation</t>
  </si>
  <si>
    <t>Section 3.3; Table 3.3</t>
  </si>
  <si>
    <t>M3</t>
  </si>
  <si>
    <t xml:space="preserve">  Labelled dataset complete</t>
  </si>
  <si>
    <t>2.3</t>
  </si>
  <si>
    <t xml:space="preserve">  Machine learning and robustness analysis</t>
  </si>
  <si>
    <t>Sections 5.4, 5.7</t>
  </si>
  <si>
    <t>2.4</t>
  </si>
  <si>
    <t xml:space="preserve">  Autonomous FDIR implementation</t>
  </si>
  <si>
    <t>Sections 4.8, 5.8</t>
  </si>
  <si>
    <t>3</t>
  </si>
  <si>
    <t>Writing and submission</t>
  </si>
  <si>
    <t>Chapters 1-6</t>
  </si>
  <si>
    <t>3.1</t>
  </si>
  <si>
    <t xml:space="preserve">  Thesis drafting</t>
  </si>
  <si>
    <t>3.2</t>
  </si>
  <si>
    <t xml:space="preserve">  Corrections, documentation and submission</t>
  </si>
  <si>
    <t>Appendices A-C</t>
  </si>
  <si>
    <t>M4</t>
  </si>
  <si>
    <t xml:space="preserve">  Thesis submission</t>
  </si>
  <si>
    <t>How to use this sheet</t>
  </si>
  <si>
    <t>- Blue cells (Start, Finish, %) are the only inputs - edit those and everything else, including the Gantt chart, updates automatically.</t>
  </si>
  <si>
    <t>- Black cells are formulas. Phase rows roll up from their child tasks; Days = Finish - Start + 1; the % on a phase row is duration-weighted.</t>
  </si>
  <si>
    <t>- Columns K-O drive the chart only. Milestones are stored with Start = Finish (zero duration) and are widened to a 6-day marker so they remain visible at this time scale.</t>
  </si>
  <si>
    <t>- The chart plots three stacked series: Plot start (no fill, positions the bar), Complete and Remaining. Shading: phase rows black, tasks grey, milestones solid black markers, outstanding work light grey.</t>
  </si>
  <si>
    <t>- Dates were reconstructed from the project record; adjust any that differ from your own log and the chart will follow.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</si>
</sst>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10"/>
      <color rgb="FF40404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FFFFFF"/>
      <name val="Arial"/>
    </font>
    <font>
      <b/>
      <i/>
      <sz val="9"/>
      <color rgb="FF7F7F7F"/>
      <name val="Arial"/>
    </font>
    <font>
      <sz val="9"/>
      <color rgb="FF000000"/>
      <name val="Arial"/>
    </font>
    <font>
      <sz val="9"/>
      <color rgb="FF7F7F7F"/>
      <name val="Arial"/>
    </font>
    <font>
      <b/>
      <sz val="10"/>
      <color rgb="FF1F3864"/>
      <name val="Arial"/>
    </font>
    <font>
      <sz val="9"/>
      <color rgb="FF404040"/>
      <name val="Arial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7F7F7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164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15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15" fontId="9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15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0" fillId="0" borderId="0" xfId="0" applyFont="1"/>
    <xf numFmtId="0" fontId="11" fillId="0" borderId="0" xfId="0" applyFont="1"/>
    <xf numFmtId="0" fontId="0" fillId="0" borderId="0" xfId="0"/>
    <xf numFmtId="0" fontId="3" fillId="0" borderId="0" xfId="0" applyFont="1"/>
    <xf numFmtId="164" fontId="5" fillId="0" borderId="0" xfId="0" applyNumberFormat="1" applyFont="1" applyAlignment="1">
      <alignment horizontal="left" vertical="center"/>
    </xf>
    <xf numFmtId="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'Project Plan'!$K$9</c:f>
              <c:strCache>
                <c:ptCount val="1"/>
                <c:pt idx="0">
                  <c:v>Plot start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'Project Plan'!$O$10:$O$26</c:f>
              <c:strCache>
                <c:ptCount val="17"/>
                <c:pt idx="0">
                  <c:v>1   Conception and proposal</c:v>
                </c:pt>
                <c:pt idx="1">
                  <c:v>1.1   Topic conception (after KCM site visit)</c:v>
                </c:pt>
                <c:pt idx="2">
                  <c:v>1.2   FYP proposal development</c:v>
                </c:pt>
                <c:pt idx="3">
                  <c:v>M1   Proposal submitted</c:v>
                </c:pt>
                <c:pt idx="4">
                  <c:v>1.3   Concept development and refinement</c:v>
                </c:pt>
                <c:pt idx="5">
                  <c:v>1.4   Scope simplification and title finalisation</c:v>
                </c:pt>
                <c:pt idx="6">
                  <c:v>M2   Title and scope finalised</c:v>
                </c:pt>
                <c:pt idx="7">
                  <c:v>2   Modelling, dataset and machine learning</c:v>
                </c:pt>
                <c:pt idx="8">
                  <c:v>2.1   Feeder Simulink modelling</c:v>
                </c:pt>
                <c:pt idx="9">
                  <c:v>2.2   Topology rebuild and dataset generation</c:v>
                </c:pt>
                <c:pt idx="10">
                  <c:v>M3   Labelled dataset complete</c:v>
                </c:pt>
                <c:pt idx="11">
                  <c:v>2.3   Machine learning and robustness analysis</c:v>
                </c:pt>
                <c:pt idx="12">
                  <c:v>2.4   Autonomous FDIR implementation</c:v>
                </c:pt>
                <c:pt idx="13">
                  <c:v>3   Writing and submission</c:v>
                </c:pt>
                <c:pt idx="14">
                  <c:v>3.1   Thesis drafting</c:v>
                </c:pt>
                <c:pt idx="15">
                  <c:v>3.2   Corrections, documentation and submission</c:v>
                </c:pt>
                <c:pt idx="16">
                  <c:v>M4   Thesis submission</c:v>
                </c:pt>
              </c:strCache>
            </c:strRef>
          </c:cat>
          <c:val>
            <c:numRef>
              <c:f>'Project Plan'!$K$10:$K$26</c:f>
              <c:numCache>
                <c:formatCode>d\-mmm\-yy</c:formatCode>
                <c:ptCount val="17"/>
                <c:pt idx="0">
                  <c:v>45839</c:v>
                </c:pt>
                <c:pt idx="1">
                  <c:v>45839</c:v>
                </c:pt>
                <c:pt idx="2">
                  <c:v>45916</c:v>
                </c:pt>
                <c:pt idx="3">
                  <c:v>46003</c:v>
                </c:pt>
                <c:pt idx="4">
                  <c:v>45955</c:v>
                </c:pt>
                <c:pt idx="5">
                  <c:v>46038</c:v>
                </c:pt>
                <c:pt idx="6">
                  <c:v>46065</c:v>
                </c:pt>
                <c:pt idx="7">
                  <c:v>46082</c:v>
                </c:pt>
                <c:pt idx="8">
                  <c:v>46082</c:v>
                </c:pt>
                <c:pt idx="9">
                  <c:v>46178</c:v>
                </c:pt>
                <c:pt idx="10">
                  <c:v>46210</c:v>
                </c:pt>
                <c:pt idx="11">
                  <c:v>46178</c:v>
                </c:pt>
                <c:pt idx="12">
                  <c:v>46178</c:v>
                </c:pt>
                <c:pt idx="13">
                  <c:v>46143</c:v>
                </c:pt>
                <c:pt idx="14">
                  <c:v>46143</c:v>
                </c:pt>
                <c:pt idx="15">
                  <c:v>46174</c:v>
                </c:pt>
                <c:pt idx="16">
                  <c:v>46246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5-45DB-8206-E6A2392C55BF}"/>
            </c:ext>
          </c:extLst>
        </c:ser>
        <c:ser>
          <c:idx val="1"/>
          <c:order val="1"/>
          <c:tx>
            <c:strRef>
              <c:f>'Project Plan'!$M$9</c:f>
              <c:strCache>
                <c:ptCount val="1"/>
                <c:pt idx="0">
                  <c:v>Complete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04040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405-45DB-8206-E6A2392C55BF}"/>
              </c:ext>
            </c:extLst>
          </c:dPt>
          <c:dPt>
            <c:idx val="1"/>
            <c:invertIfNegative val="1"/>
            <c:bubble3D val="0"/>
            <c:spPr>
              <a:solidFill>
                <a:srgbClr val="808080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405-45DB-8206-E6A2392C55BF}"/>
              </c:ext>
            </c:extLst>
          </c:dPt>
          <c:dPt>
            <c:idx val="2"/>
            <c:invertIfNegative val="1"/>
            <c:bubble3D val="0"/>
            <c:spPr>
              <a:solidFill>
                <a:srgbClr val="808080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405-45DB-8206-E6A2392C55BF}"/>
              </c:ext>
            </c:extLst>
          </c:dPt>
          <c:dPt>
            <c:idx val="3"/>
            <c:invertIfNegative val="1"/>
            <c:bubble3D val="0"/>
            <c:spPr>
              <a:solidFill>
                <a:srgbClr val="000000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405-45DB-8206-E6A2392C55BF}"/>
              </c:ext>
            </c:extLst>
          </c:dPt>
          <c:dPt>
            <c:idx val="4"/>
            <c:invertIfNegative val="1"/>
            <c:bubble3D val="0"/>
            <c:spPr>
              <a:solidFill>
                <a:srgbClr val="808080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405-45DB-8206-E6A2392C55BF}"/>
              </c:ext>
            </c:extLst>
          </c:dPt>
          <c:dPt>
            <c:idx val="5"/>
            <c:invertIfNegative val="1"/>
            <c:bubble3D val="0"/>
            <c:spPr>
              <a:solidFill>
                <a:srgbClr val="808080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405-45DB-8206-E6A2392C55BF}"/>
              </c:ext>
            </c:extLst>
          </c:dPt>
          <c:dPt>
            <c:idx val="6"/>
            <c:invertIfNegative val="1"/>
            <c:bubble3D val="0"/>
            <c:spPr>
              <a:solidFill>
                <a:srgbClr val="000000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D405-45DB-8206-E6A2392C55BF}"/>
              </c:ext>
            </c:extLst>
          </c:dPt>
          <c:dPt>
            <c:idx val="7"/>
            <c:invertIfNegative val="1"/>
            <c:bubble3D val="0"/>
            <c:spPr>
              <a:solidFill>
                <a:srgbClr val="404040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405-45DB-8206-E6A2392C55BF}"/>
              </c:ext>
            </c:extLst>
          </c:dPt>
          <c:dPt>
            <c:idx val="8"/>
            <c:invertIfNegative val="1"/>
            <c:bubble3D val="0"/>
            <c:spPr>
              <a:solidFill>
                <a:srgbClr val="8C8C8C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405-45DB-8206-E6A2392C55BF}"/>
              </c:ext>
            </c:extLst>
          </c:dPt>
          <c:dPt>
            <c:idx val="9"/>
            <c:invertIfNegative val="1"/>
            <c:bubble3D val="0"/>
            <c:spPr>
              <a:solidFill>
                <a:srgbClr val="8C8C8C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D405-45DB-8206-E6A2392C55BF}"/>
              </c:ext>
            </c:extLst>
          </c:dPt>
          <c:dPt>
            <c:idx val="10"/>
            <c:invertIfNegative val="1"/>
            <c:bubble3D val="0"/>
            <c:spPr>
              <a:solidFill>
                <a:srgbClr val="000000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D405-45DB-8206-E6A2392C55BF}"/>
              </c:ext>
            </c:extLst>
          </c:dPt>
          <c:dPt>
            <c:idx val="11"/>
            <c:invertIfNegative val="1"/>
            <c:bubble3D val="0"/>
            <c:spPr>
              <a:solidFill>
                <a:srgbClr val="8C8C8C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D405-45DB-8206-E6A2392C55BF}"/>
              </c:ext>
            </c:extLst>
          </c:dPt>
          <c:dPt>
            <c:idx val="12"/>
            <c:invertIfNegative val="1"/>
            <c:bubble3D val="0"/>
            <c:spPr>
              <a:solidFill>
                <a:srgbClr val="8C8C8C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D405-45DB-8206-E6A2392C55BF}"/>
              </c:ext>
            </c:extLst>
          </c:dPt>
          <c:dPt>
            <c:idx val="13"/>
            <c:invertIfNegative val="1"/>
            <c:bubble3D val="0"/>
            <c:spPr>
              <a:solidFill>
                <a:srgbClr val="404040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D405-45DB-8206-E6A2392C55BF}"/>
              </c:ext>
            </c:extLst>
          </c:dPt>
          <c:dPt>
            <c:idx val="14"/>
            <c:invertIfNegative val="1"/>
            <c:bubble3D val="0"/>
            <c:spPr>
              <a:solidFill>
                <a:srgbClr val="A6A6A6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D405-45DB-8206-E6A2392C55BF}"/>
              </c:ext>
            </c:extLst>
          </c:dPt>
          <c:dPt>
            <c:idx val="15"/>
            <c:invertIfNegative val="1"/>
            <c:bubble3D val="0"/>
            <c:spPr>
              <a:solidFill>
                <a:srgbClr val="A6A6A6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D405-45DB-8206-E6A2392C55BF}"/>
              </c:ext>
            </c:extLst>
          </c:dPt>
          <c:dPt>
            <c:idx val="16"/>
            <c:invertIfNegative val="1"/>
            <c:bubble3D val="0"/>
            <c:spPr>
              <a:solidFill>
                <a:srgbClr val="000000"/>
              </a:solidFill>
              <a:ln w="63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D405-45DB-8206-E6A2392C55BF}"/>
              </c:ext>
            </c:extLst>
          </c:dPt>
          <c:cat>
            <c:strRef>
              <c:f>'Project Plan'!$O$10:$O$26</c:f>
              <c:strCache>
                <c:ptCount val="17"/>
                <c:pt idx="0">
                  <c:v>1   Conception and proposal</c:v>
                </c:pt>
                <c:pt idx="1">
                  <c:v>1.1   Topic conception (after KCM site visit)</c:v>
                </c:pt>
                <c:pt idx="2">
                  <c:v>1.2   FYP proposal development</c:v>
                </c:pt>
                <c:pt idx="3">
                  <c:v>M1   Proposal submitted</c:v>
                </c:pt>
                <c:pt idx="4">
                  <c:v>1.3   Concept development and refinement</c:v>
                </c:pt>
                <c:pt idx="5">
                  <c:v>1.4   Scope simplification and title finalisation</c:v>
                </c:pt>
                <c:pt idx="6">
                  <c:v>M2   Title and scope finalised</c:v>
                </c:pt>
                <c:pt idx="7">
                  <c:v>2   Modelling, dataset and machine learning</c:v>
                </c:pt>
                <c:pt idx="8">
                  <c:v>2.1   Feeder Simulink modelling</c:v>
                </c:pt>
                <c:pt idx="9">
                  <c:v>2.2   Topology rebuild and dataset generation</c:v>
                </c:pt>
                <c:pt idx="10">
                  <c:v>M3   Labelled dataset complete</c:v>
                </c:pt>
                <c:pt idx="11">
                  <c:v>2.3   Machine learning and robustness analysis</c:v>
                </c:pt>
                <c:pt idx="12">
                  <c:v>2.4   Autonomous FDIR implementation</c:v>
                </c:pt>
                <c:pt idx="13">
                  <c:v>3   Writing and submission</c:v>
                </c:pt>
                <c:pt idx="14">
                  <c:v>3.1   Thesis drafting</c:v>
                </c:pt>
                <c:pt idx="15">
                  <c:v>3.2   Corrections, documentation and submission</c:v>
                </c:pt>
                <c:pt idx="16">
                  <c:v>M4   Thesis submission</c:v>
                </c:pt>
              </c:strCache>
            </c:strRef>
          </c:cat>
          <c:val>
            <c:numRef>
              <c:f>'Project Plan'!$M$10:$M$26</c:f>
              <c:numCache>
                <c:formatCode>0</c:formatCode>
                <c:ptCount val="17"/>
                <c:pt idx="0">
                  <c:v>230</c:v>
                </c:pt>
                <c:pt idx="1">
                  <c:v>77</c:v>
                </c:pt>
                <c:pt idx="2">
                  <c:v>91</c:v>
                </c:pt>
                <c:pt idx="3">
                  <c:v>6</c:v>
                </c:pt>
                <c:pt idx="4">
                  <c:v>83</c:v>
                </c:pt>
                <c:pt idx="5">
                  <c:v>31</c:v>
                </c:pt>
                <c:pt idx="6">
                  <c:v>6</c:v>
                </c:pt>
                <c:pt idx="7">
                  <c:v>160</c:v>
                </c:pt>
                <c:pt idx="8">
                  <c:v>127</c:v>
                </c:pt>
                <c:pt idx="9">
                  <c:v>36</c:v>
                </c:pt>
                <c:pt idx="10">
                  <c:v>6</c:v>
                </c:pt>
                <c:pt idx="11">
                  <c:v>38</c:v>
                </c:pt>
                <c:pt idx="12">
                  <c:v>64</c:v>
                </c:pt>
                <c:pt idx="13">
                  <c:v>102</c:v>
                </c:pt>
                <c:pt idx="14">
                  <c:v>100</c:v>
                </c:pt>
                <c:pt idx="15">
                  <c:v>68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405-45DB-8206-E6A2392C55BF}"/>
            </c:ext>
          </c:extLst>
        </c:ser>
        <c:ser>
          <c:idx val="2"/>
          <c:order val="2"/>
          <c:tx>
            <c:strRef>
              <c:f>'Project Plan'!$N$9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D9D9D9"/>
            </a:solidFill>
            <a:ln w="6350">
              <a:solidFill>
                <a:srgbClr val="A6A6A6"/>
              </a:solidFill>
              <a:prstDash val="solid"/>
            </a:ln>
          </c:spPr>
          <c:invertIfNegative val="1"/>
          <c:cat>
            <c:strRef>
              <c:f>'Project Plan'!$O$10:$O$26</c:f>
              <c:strCache>
                <c:ptCount val="17"/>
                <c:pt idx="0">
                  <c:v>1   Conception and proposal</c:v>
                </c:pt>
                <c:pt idx="1">
                  <c:v>1.1   Topic conception (after KCM site visit)</c:v>
                </c:pt>
                <c:pt idx="2">
                  <c:v>1.2   FYP proposal development</c:v>
                </c:pt>
                <c:pt idx="3">
                  <c:v>M1   Proposal submitted</c:v>
                </c:pt>
                <c:pt idx="4">
                  <c:v>1.3   Concept development and refinement</c:v>
                </c:pt>
                <c:pt idx="5">
                  <c:v>1.4   Scope simplification and title finalisation</c:v>
                </c:pt>
                <c:pt idx="6">
                  <c:v>M2   Title and scope finalised</c:v>
                </c:pt>
                <c:pt idx="7">
                  <c:v>2   Modelling, dataset and machine learning</c:v>
                </c:pt>
                <c:pt idx="8">
                  <c:v>2.1   Feeder Simulink modelling</c:v>
                </c:pt>
                <c:pt idx="9">
                  <c:v>2.2   Topology rebuild and dataset generation</c:v>
                </c:pt>
                <c:pt idx="10">
                  <c:v>M3   Labelled dataset complete</c:v>
                </c:pt>
                <c:pt idx="11">
                  <c:v>2.3   Machine learning and robustness analysis</c:v>
                </c:pt>
                <c:pt idx="12">
                  <c:v>2.4   Autonomous FDIR implementation</c:v>
                </c:pt>
                <c:pt idx="13">
                  <c:v>3   Writing and submission</c:v>
                </c:pt>
                <c:pt idx="14">
                  <c:v>3.1   Thesis drafting</c:v>
                </c:pt>
                <c:pt idx="15">
                  <c:v>3.2   Corrections, documentation and submission</c:v>
                </c:pt>
                <c:pt idx="16">
                  <c:v>M4   Thesis submission</c:v>
                </c:pt>
              </c:strCache>
            </c:strRef>
          </c:cat>
          <c:val>
            <c:numRef>
              <c:f>'Project Plan'!$N$10:$N$26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350">
                    <a:solidFill>
                      <a:srgbClr val="A6A6A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D405-45DB-8206-E6A2392C5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000000"/>
            </a:solidFill>
          </a:ln>
        </c:sp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6266"/>
          <c:min val="45839"/>
        </c:scaling>
        <c:delete val="0"/>
        <c:axPos val="t"/>
        <c:majorGridlines>
          <c:spPr>
            <a:ln w="9525">
              <a:solidFill>
                <a:srgbClr val="B4B4B4"/>
              </a:solidFill>
            </a:ln>
          </c:spPr>
        </c:majorGridlines>
        <c:minorGridlines>
          <c:spPr>
            <a:ln w="6350">
              <a:solidFill>
                <a:srgbClr val="E0E0E0"/>
              </a:solidFill>
            </a:ln>
          </c:spPr>
        </c:minorGridlines>
        <c:numFmt formatCode="mmm\ yyyy" sourceLinked="0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crossAx val="10"/>
        <c:crosses val="autoZero"/>
        <c:crossBetween val="between"/>
        <c:majorUnit val="92"/>
        <c:minorUnit val="30.667000000000002"/>
      </c:valAx>
      <c:spPr>
        <a:ln>
          <a:solidFill>
            <a:srgbClr val="808080"/>
          </a:solidFill>
        </a:ln>
      </c:spPr>
    </c:plotArea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000000"/>
          </a:solidFill>
          <a:latin typeface="Times New Roman" panose="02020603050405020304" pitchFamily="18" charset="0"/>
        </a:defRPr>
      </a:pPr>
      <a:endParaRPr lang="en-ZM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35</xdr:row>
      <xdr:rowOff>0</xdr:rowOff>
    </xdr:from>
    <xdr:ext cx="684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3"/>
  <sheetViews>
    <sheetView showGridLines="0" tabSelected="1" workbookViewId="0">
      <pane ySplit="9" topLeftCell="A10" activePane="bottomLeft" state="frozen"/>
      <selection pane="bottomLeft"/>
    </sheetView>
  </sheetViews>
  <sheetFormatPr defaultRowHeight="14.5" x14ac:dyDescent="0.35"/>
  <cols>
    <col min="1" max="1" width="7" customWidth="1"/>
    <col min="2" max="2" width="40" customWidth="1"/>
    <col min="3" max="3" width="11" customWidth="1"/>
    <col min="4" max="4" width="8" customWidth="1"/>
    <col min="5" max="6" width="12" customWidth="1"/>
    <col min="7" max="8" width="7" customWidth="1"/>
    <col min="9" max="9" width="13" customWidth="1"/>
    <col min="10" max="10" width="24" customWidth="1"/>
    <col min="11" max="11" width="11" customWidth="1"/>
    <col min="12" max="12" width="10" customWidth="1"/>
    <col min="13" max="13" width="9" customWidth="1"/>
    <col min="14" max="14" width="10" customWidth="1"/>
    <col min="15" max="15" width="42" customWidth="1"/>
  </cols>
  <sheetData>
    <row r="1" spans="1:15" ht="18" x14ac:dyDescent="0.4">
      <c r="A1" s="1" t="s">
        <v>0</v>
      </c>
    </row>
    <row r="2" spans="1:15" x14ac:dyDescent="0.35">
      <c r="A2" s="2" t="s">
        <v>1</v>
      </c>
    </row>
    <row r="3" spans="1:15" x14ac:dyDescent="0.35">
      <c r="A3" s="2" t="s">
        <v>2</v>
      </c>
    </row>
    <row r="5" spans="1:15" x14ac:dyDescent="0.35">
      <c r="A5" s="26" t="s">
        <v>3</v>
      </c>
      <c r="B5" s="25"/>
      <c r="C5" s="3">
        <f>MIN(E10:E26)</f>
        <v>45839</v>
      </c>
      <c r="E5" s="26" t="s">
        <v>4</v>
      </c>
      <c r="F5" s="25"/>
      <c r="G5" s="27">
        <v>46244</v>
      </c>
      <c r="H5" s="25"/>
    </row>
    <row r="6" spans="1:15" x14ac:dyDescent="0.35">
      <c r="A6" s="26" t="s">
        <v>5</v>
      </c>
      <c r="B6" s="25"/>
      <c r="C6" s="3">
        <f>MAX(F10:F26)</f>
        <v>46249</v>
      </c>
      <c r="E6" s="26" t="s">
        <v>6</v>
      </c>
      <c r="F6" s="25"/>
      <c r="G6" s="28">
        <f>SUMPRODUCT(G10:G26,H10:H26,--(C10:C26="Task"))/SUMPRODUCT(G10:G26,--(C10:C26="Task"))</f>
        <v>0.98948824343015207</v>
      </c>
      <c r="H6" s="25"/>
    </row>
    <row r="7" spans="1:15" x14ac:dyDescent="0.35">
      <c r="A7" s="26" t="s">
        <v>7</v>
      </c>
      <c r="B7" s="25"/>
      <c r="C7" s="4">
        <f>C6-C5+1</f>
        <v>411</v>
      </c>
      <c r="E7" s="26" t="s">
        <v>8</v>
      </c>
      <c r="F7" s="25"/>
      <c r="G7" s="29" t="str">
        <f>COUNTIF(C10:C26,"Task")&amp;" / "&amp;COUNTIF(C10:C26,"Milestone")</f>
        <v>10 / 4</v>
      </c>
      <c r="H7" s="25"/>
    </row>
    <row r="8" spans="1:15" x14ac:dyDescent="0.35">
      <c r="K8" s="30" t="s">
        <v>9</v>
      </c>
      <c r="L8" s="25"/>
      <c r="M8" s="25"/>
      <c r="N8" s="25"/>
      <c r="O8" s="25"/>
    </row>
    <row r="9" spans="1:15" x14ac:dyDescent="0.35">
      <c r="A9" s="5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5" t="s">
        <v>16</v>
      </c>
      <c r="H9" s="5" t="s">
        <v>17</v>
      </c>
      <c r="I9" s="5" t="s">
        <v>18</v>
      </c>
      <c r="J9" s="5" t="s">
        <v>19</v>
      </c>
      <c r="K9" s="6" t="s">
        <v>20</v>
      </c>
      <c r="L9" s="6" t="s">
        <v>21</v>
      </c>
      <c r="M9" s="6" t="s">
        <v>22</v>
      </c>
      <c r="N9" s="6" t="s">
        <v>23</v>
      </c>
      <c r="O9" s="6" t="s">
        <v>24</v>
      </c>
    </row>
    <row r="10" spans="1:15" ht="20" customHeight="1" x14ac:dyDescent="0.35">
      <c r="A10" s="7" t="s">
        <v>25</v>
      </c>
      <c r="B10" s="8" t="s">
        <v>26</v>
      </c>
      <c r="C10" s="9" t="s">
        <v>27</v>
      </c>
      <c r="D10" s="9" t="s">
        <v>28</v>
      </c>
      <c r="E10" s="10">
        <f>MIN(E11:E16)</f>
        <v>45839</v>
      </c>
      <c r="F10" s="10">
        <f>MAX(F11:F16)</f>
        <v>46068</v>
      </c>
      <c r="G10" s="11">
        <f t="shared" ref="G10:G26" si="0">F10-E10+1</f>
        <v>230</v>
      </c>
      <c r="H10" s="12">
        <f>SUMPRODUCT(G11:G16,H11:H16)/SUM(G11:G16)</f>
        <v>1</v>
      </c>
      <c r="I10" s="9" t="str">
        <f t="shared" ref="I10:I26" si="1">IF(H10&gt;=1,"Complete",IF(H10&lt;=0,"Not started","In progress"))</f>
        <v>Complete</v>
      </c>
      <c r="J10" s="13" t="s">
        <v>29</v>
      </c>
      <c r="K10" s="14">
        <f t="shared" ref="K10:K26" si="2">IF($C10="Milestone",E10-3,E10)</f>
        <v>45839</v>
      </c>
      <c r="L10" s="15">
        <f t="shared" ref="L10:L26" si="3">IF($C10="Milestone",6,G10)</f>
        <v>230</v>
      </c>
      <c r="M10" s="15">
        <f t="shared" ref="M10:M26" si="4">ROUND(L10*H10,0)</f>
        <v>230</v>
      </c>
      <c r="N10" s="15">
        <f t="shared" ref="N10:N26" si="5">L10-M10</f>
        <v>0</v>
      </c>
      <c r="O10" s="16" t="str">
        <f t="shared" ref="O10:O26" si="6">A10&amp;"   "&amp;TRIM(B10)</f>
        <v>1   Conception and proposal</v>
      </c>
    </row>
    <row r="11" spans="1:15" ht="20" customHeight="1" x14ac:dyDescent="0.35">
      <c r="A11" s="17" t="s">
        <v>30</v>
      </c>
      <c r="B11" s="18" t="s">
        <v>31</v>
      </c>
      <c r="C11" s="17" t="s">
        <v>32</v>
      </c>
      <c r="D11" s="17" t="s">
        <v>28</v>
      </c>
      <c r="E11" s="19">
        <v>45839</v>
      </c>
      <c r="F11" s="19">
        <v>45915</v>
      </c>
      <c r="G11" s="20">
        <f t="shared" si="0"/>
        <v>77</v>
      </c>
      <c r="H11" s="21">
        <v>1</v>
      </c>
      <c r="I11" s="17" t="str">
        <f t="shared" si="1"/>
        <v>Complete</v>
      </c>
      <c r="J11" s="22" t="s">
        <v>33</v>
      </c>
      <c r="K11" s="14">
        <f t="shared" si="2"/>
        <v>45839</v>
      </c>
      <c r="L11" s="15">
        <f t="shared" si="3"/>
        <v>77</v>
      </c>
      <c r="M11" s="15">
        <f t="shared" si="4"/>
        <v>77</v>
      </c>
      <c r="N11" s="15">
        <f t="shared" si="5"/>
        <v>0</v>
      </c>
      <c r="O11" s="16" t="str">
        <f t="shared" si="6"/>
        <v>1.1   Topic conception (after KCM site visit)</v>
      </c>
    </row>
    <row r="12" spans="1:15" ht="20" customHeight="1" x14ac:dyDescent="0.35">
      <c r="A12" s="17" t="s">
        <v>34</v>
      </c>
      <c r="B12" s="18" t="s">
        <v>35</v>
      </c>
      <c r="C12" s="17" t="s">
        <v>32</v>
      </c>
      <c r="D12" s="17" t="s">
        <v>30</v>
      </c>
      <c r="E12" s="19">
        <v>45916</v>
      </c>
      <c r="F12" s="19">
        <v>46006</v>
      </c>
      <c r="G12" s="20">
        <f t="shared" si="0"/>
        <v>91</v>
      </c>
      <c r="H12" s="21">
        <v>1</v>
      </c>
      <c r="I12" s="17" t="str">
        <f t="shared" si="1"/>
        <v>Complete</v>
      </c>
      <c r="J12" s="22" t="s">
        <v>36</v>
      </c>
      <c r="K12" s="14">
        <f t="shared" si="2"/>
        <v>45916</v>
      </c>
      <c r="L12" s="15">
        <f t="shared" si="3"/>
        <v>91</v>
      </c>
      <c r="M12" s="15">
        <f t="shared" si="4"/>
        <v>91</v>
      </c>
      <c r="N12" s="15">
        <f t="shared" si="5"/>
        <v>0</v>
      </c>
      <c r="O12" s="16" t="str">
        <f t="shared" si="6"/>
        <v>1.2   FYP proposal development</v>
      </c>
    </row>
    <row r="13" spans="1:15" ht="20" customHeight="1" x14ac:dyDescent="0.35">
      <c r="A13" s="17" t="s">
        <v>37</v>
      </c>
      <c r="B13" s="18" t="s">
        <v>38</v>
      </c>
      <c r="C13" s="17" t="s">
        <v>39</v>
      </c>
      <c r="D13" s="17" t="s">
        <v>34</v>
      </c>
      <c r="E13" s="19">
        <v>46006</v>
      </c>
      <c r="F13" s="19">
        <v>46006</v>
      </c>
      <c r="G13" s="20">
        <f t="shared" si="0"/>
        <v>1</v>
      </c>
      <c r="H13" s="21">
        <v>1</v>
      </c>
      <c r="I13" s="17" t="str">
        <f t="shared" si="1"/>
        <v>Complete</v>
      </c>
      <c r="J13" s="22" t="s">
        <v>28</v>
      </c>
      <c r="K13" s="14">
        <f t="shared" si="2"/>
        <v>46003</v>
      </c>
      <c r="L13" s="15">
        <f t="shared" si="3"/>
        <v>6</v>
      </c>
      <c r="M13" s="15">
        <f t="shared" si="4"/>
        <v>6</v>
      </c>
      <c r="N13" s="15">
        <f t="shared" si="5"/>
        <v>0</v>
      </c>
      <c r="O13" s="16" t="str">
        <f t="shared" si="6"/>
        <v>M1   Proposal submitted</v>
      </c>
    </row>
    <row r="14" spans="1:15" ht="20" customHeight="1" x14ac:dyDescent="0.35">
      <c r="A14" s="17" t="s">
        <v>40</v>
      </c>
      <c r="B14" s="18" t="s">
        <v>41</v>
      </c>
      <c r="C14" s="17" t="s">
        <v>32</v>
      </c>
      <c r="D14" s="17" t="s">
        <v>34</v>
      </c>
      <c r="E14" s="19">
        <v>45955</v>
      </c>
      <c r="F14" s="19">
        <v>46037</v>
      </c>
      <c r="G14" s="20">
        <f t="shared" si="0"/>
        <v>83</v>
      </c>
      <c r="H14" s="21">
        <v>1</v>
      </c>
      <c r="I14" s="17" t="str">
        <f t="shared" si="1"/>
        <v>Complete</v>
      </c>
      <c r="J14" s="22" t="s">
        <v>42</v>
      </c>
      <c r="K14" s="14">
        <f t="shared" si="2"/>
        <v>45955</v>
      </c>
      <c r="L14" s="15">
        <f t="shared" si="3"/>
        <v>83</v>
      </c>
      <c r="M14" s="15">
        <f t="shared" si="4"/>
        <v>83</v>
      </c>
      <c r="N14" s="15">
        <f t="shared" si="5"/>
        <v>0</v>
      </c>
      <c r="O14" s="16" t="str">
        <f t="shared" si="6"/>
        <v>1.3   Concept development and refinement</v>
      </c>
    </row>
    <row r="15" spans="1:15" ht="20" customHeight="1" x14ac:dyDescent="0.35">
      <c r="A15" s="17" t="s">
        <v>43</v>
      </c>
      <c r="B15" s="18" t="s">
        <v>44</v>
      </c>
      <c r="C15" s="17" t="s">
        <v>32</v>
      </c>
      <c r="D15" s="17" t="s">
        <v>40</v>
      </c>
      <c r="E15" s="19">
        <v>46038</v>
      </c>
      <c r="F15" s="19">
        <v>46068</v>
      </c>
      <c r="G15" s="20">
        <f t="shared" si="0"/>
        <v>31</v>
      </c>
      <c r="H15" s="21">
        <v>1</v>
      </c>
      <c r="I15" s="17" t="str">
        <f t="shared" si="1"/>
        <v>Complete</v>
      </c>
      <c r="J15" s="22" t="s">
        <v>45</v>
      </c>
      <c r="K15" s="14">
        <f t="shared" si="2"/>
        <v>46038</v>
      </c>
      <c r="L15" s="15">
        <f t="shared" si="3"/>
        <v>31</v>
      </c>
      <c r="M15" s="15">
        <f t="shared" si="4"/>
        <v>31</v>
      </c>
      <c r="N15" s="15">
        <f t="shared" si="5"/>
        <v>0</v>
      </c>
      <c r="O15" s="16" t="str">
        <f t="shared" si="6"/>
        <v>1.4   Scope simplification and title finalisation</v>
      </c>
    </row>
    <row r="16" spans="1:15" ht="20" customHeight="1" x14ac:dyDescent="0.35">
      <c r="A16" s="17" t="s">
        <v>46</v>
      </c>
      <c r="B16" s="18" t="s">
        <v>47</v>
      </c>
      <c r="C16" s="17" t="s">
        <v>39</v>
      </c>
      <c r="D16" s="17" t="s">
        <v>43</v>
      </c>
      <c r="E16" s="19">
        <v>46068</v>
      </c>
      <c r="F16" s="19">
        <v>46068</v>
      </c>
      <c r="G16" s="20">
        <f t="shared" si="0"/>
        <v>1</v>
      </c>
      <c r="H16" s="21">
        <v>1</v>
      </c>
      <c r="I16" s="17" t="str">
        <f t="shared" si="1"/>
        <v>Complete</v>
      </c>
      <c r="J16" s="22" t="s">
        <v>28</v>
      </c>
      <c r="K16" s="14">
        <f t="shared" si="2"/>
        <v>46065</v>
      </c>
      <c r="L16" s="15">
        <f t="shared" si="3"/>
        <v>6</v>
      </c>
      <c r="M16" s="15">
        <f t="shared" si="4"/>
        <v>6</v>
      </c>
      <c r="N16" s="15">
        <f t="shared" si="5"/>
        <v>0</v>
      </c>
      <c r="O16" s="16" t="str">
        <f t="shared" si="6"/>
        <v>M2   Title and scope finalised</v>
      </c>
    </row>
    <row r="17" spans="1:15" ht="20" customHeight="1" x14ac:dyDescent="0.35">
      <c r="A17" s="7" t="s">
        <v>48</v>
      </c>
      <c r="B17" s="8" t="s">
        <v>49</v>
      </c>
      <c r="C17" s="9" t="s">
        <v>27</v>
      </c>
      <c r="D17" s="9" t="s">
        <v>25</v>
      </c>
      <c r="E17" s="10">
        <f>MIN(E18:E22)</f>
        <v>46082</v>
      </c>
      <c r="F17" s="10">
        <f>MAX(F18:F22)</f>
        <v>46241</v>
      </c>
      <c r="G17" s="11">
        <f t="shared" si="0"/>
        <v>160</v>
      </c>
      <c r="H17" s="12">
        <f>SUMPRODUCT(G18:G22,H18:H22)/SUM(G18:G22)</f>
        <v>1</v>
      </c>
      <c r="I17" s="9" t="str">
        <f t="shared" si="1"/>
        <v>Complete</v>
      </c>
      <c r="J17" s="13" t="s">
        <v>50</v>
      </c>
      <c r="K17" s="14">
        <f t="shared" si="2"/>
        <v>46082</v>
      </c>
      <c r="L17" s="15">
        <f t="shared" si="3"/>
        <v>160</v>
      </c>
      <c r="M17" s="15">
        <f t="shared" si="4"/>
        <v>160</v>
      </c>
      <c r="N17" s="15">
        <f t="shared" si="5"/>
        <v>0</v>
      </c>
      <c r="O17" s="16" t="str">
        <f t="shared" si="6"/>
        <v>2   Modelling, dataset and machine learning</v>
      </c>
    </row>
    <row r="18" spans="1:15" ht="20" customHeight="1" x14ac:dyDescent="0.35">
      <c r="A18" s="17" t="s">
        <v>51</v>
      </c>
      <c r="B18" s="18" t="s">
        <v>52</v>
      </c>
      <c r="C18" s="17" t="s">
        <v>32</v>
      </c>
      <c r="D18" s="17" t="s">
        <v>43</v>
      </c>
      <c r="E18" s="19">
        <v>46082</v>
      </c>
      <c r="F18" s="19">
        <v>46208</v>
      </c>
      <c r="G18" s="20">
        <f t="shared" si="0"/>
        <v>127</v>
      </c>
      <c r="H18" s="21">
        <v>1</v>
      </c>
      <c r="I18" s="17" t="str">
        <f t="shared" si="1"/>
        <v>Complete</v>
      </c>
      <c r="J18" s="22" t="s">
        <v>53</v>
      </c>
      <c r="K18" s="14">
        <f t="shared" si="2"/>
        <v>46082</v>
      </c>
      <c r="L18" s="15">
        <f t="shared" si="3"/>
        <v>127</v>
      </c>
      <c r="M18" s="15">
        <f t="shared" si="4"/>
        <v>127</v>
      </c>
      <c r="N18" s="15">
        <f t="shared" si="5"/>
        <v>0</v>
      </c>
      <c r="O18" s="16" t="str">
        <f t="shared" si="6"/>
        <v>2.1   Feeder Simulink modelling</v>
      </c>
    </row>
    <row r="19" spans="1:15" ht="20" customHeight="1" x14ac:dyDescent="0.35">
      <c r="A19" s="17" t="s">
        <v>54</v>
      </c>
      <c r="B19" s="18" t="s">
        <v>55</v>
      </c>
      <c r="C19" s="17" t="s">
        <v>32</v>
      </c>
      <c r="D19" s="17" t="s">
        <v>51</v>
      </c>
      <c r="E19" s="19">
        <v>46178</v>
      </c>
      <c r="F19" s="19">
        <v>46213</v>
      </c>
      <c r="G19" s="20">
        <f t="shared" si="0"/>
        <v>36</v>
      </c>
      <c r="H19" s="21">
        <v>1</v>
      </c>
      <c r="I19" s="17" t="str">
        <f t="shared" si="1"/>
        <v>Complete</v>
      </c>
      <c r="J19" s="22" t="s">
        <v>56</v>
      </c>
      <c r="K19" s="14">
        <f t="shared" si="2"/>
        <v>46178</v>
      </c>
      <c r="L19" s="15">
        <f t="shared" si="3"/>
        <v>36</v>
      </c>
      <c r="M19" s="15">
        <f t="shared" si="4"/>
        <v>36</v>
      </c>
      <c r="N19" s="15">
        <f t="shared" si="5"/>
        <v>0</v>
      </c>
      <c r="O19" s="16" t="str">
        <f t="shared" si="6"/>
        <v>2.2   Topology rebuild and dataset generation</v>
      </c>
    </row>
    <row r="20" spans="1:15" ht="20" customHeight="1" x14ac:dyDescent="0.35">
      <c r="A20" s="17" t="s">
        <v>57</v>
      </c>
      <c r="B20" s="18" t="s">
        <v>58</v>
      </c>
      <c r="C20" s="17" t="s">
        <v>39</v>
      </c>
      <c r="D20" s="17" t="s">
        <v>54</v>
      </c>
      <c r="E20" s="19">
        <v>46213</v>
      </c>
      <c r="F20" s="19">
        <v>46213</v>
      </c>
      <c r="G20" s="20">
        <f t="shared" si="0"/>
        <v>1</v>
      </c>
      <c r="H20" s="21">
        <v>1</v>
      </c>
      <c r="I20" s="17" t="str">
        <f t="shared" si="1"/>
        <v>Complete</v>
      </c>
      <c r="J20" s="22" t="s">
        <v>28</v>
      </c>
      <c r="K20" s="14">
        <f t="shared" si="2"/>
        <v>46210</v>
      </c>
      <c r="L20" s="15">
        <f t="shared" si="3"/>
        <v>6</v>
      </c>
      <c r="M20" s="15">
        <f t="shared" si="4"/>
        <v>6</v>
      </c>
      <c r="N20" s="15">
        <f t="shared" si="5"/>
        <v>0</v>
      </c>
      <c r="O20" s="16" t="str">
        <f t="shared" si="6"/>
        <v>M3   Labelled dataset complete</v>
      </c>
    </row>
    <row r="21" spans="1:15" ht="20" customHeight="1" x14ac:dyDescent="0.35">
      <c r="A21" s="17" t="s">
        <v>59</v>
      </c>
      <c r="B21" s="18" t="s">
        <v>60</v>
      </c>
      <c r="C21" s="17" t="s">
        <v>32</v>
      </c>
      <c r="D21" s="17" t="s">
        <v>54</v>
      </c>
      <c r="E21" s="19">
        <v>46178</v>
      </c>
      <c r="F21" s="19">
        <v>46215</v>
      </c>
      <c r="G21" s="20">
        <f t="shared" si="0"/>
        <v>38</v>
      </c>
      <c r="H21" s="21">
        <v>1</v>
      </c>
      <c r="I21" s="17" t="str">
        <f t="shared" si="1"/>
        <v>Complete</v>
      </c>
      <c r="J21" s="22" t="s">
        <v>61</v>
      </c>
      <c r="K21" s="14">
        <f t="shared" si="2"/>
        <v>46178</v>
      </c>
      <c r="L21" s="15">
        <f t="shared" si="3"/>
        <v>38</v>
      </c>
      <c r="M21" s="15">
        <f t="shared" si="4"/>
        <v>38</v>
      </c>
      <c r="N21" s="15">
        <f t="shared" si="5"/>
        <v>0</v>
      </c>
      <c r="O21" s="16" t="str">
        <f t="shared" si="6"/>
        <v>2.3   Machine learning and robustness analysis</v>
      </c>
    </row>
    <row r="22" spans="1:15" ht="20" customHeight="1" x14ac:dyDescent="0.35">
      <c r="A22" s="17" t="s">
        <v>62</v>
      </c>
      <c r="B22" s="18" t="s">
        <v>63</v>
      </c>
      <c r="C22" s="17" t="s">
        <v>32</v>
      </c>
      <c r="D22" s="17" t="s">
        <v>59</v>
      </c>
      <c r="E22" s="19">
        <v>46178</v>
      </c>
      <c r="F22" s="19">
        <v>46241</v>
      </c>
      <c r="G22" s="20">
        <f t="shared" si="0"/>
        <v>64</v>
      </c>
      <c r="H22" s="21">
        <v>1</v>
      </c>
      <c r="I22" s="17" t="str">
        <f t="shared" si="1"/>
        <v>Complete</v>
      </c>
      <c r="J22" s="22" t="s">
        <v>64</v>
      </c>
      <c r="K22" s="14">
        <f t="shared" si="2"/>
        <v>46178</v>
      </c>
      <c r="L22" s="15">
        <f t="shared" si="3"/>
        <v>64</v>
      </c>
      <c r="M22" s="15">
        <f t="shared" si="4"/>
        <v>64</v>
      </c>
      <c r="N22" s="15">
        <f t="shared" si="5"/>
        <v>0</v>
      </c>
      <c r="O22" s="16" t="str">
        <f t="shared" si="6"/>
        <v>2.4   Autonomous FDIR implementation</v>
      </c>
    </row>
    <row r="23" spans="1:15" ht="20" customHeight="1" x14ac:dyDescent="0.35">
      <c r="A23" s="7" t="s">
        <v>65</v>
      </c>
      <c r="B23" s="8" t="s">
        <v>66</v>
      </c>
      <c r="C23" s="9" t="s">
        <v>27</v>
      </c>
      <c r="D23" s="9" t="s">
        <v>28</v>
      </c>
      <c r="E23" s="10">
        <f>MIN(E24:E26)</f>
        <v>46143</v>
      </c>
      <c r="F23" s="10">
        <f>MAX(F24:F26)</f>
        <v>46249</v>
      </c>
      <c r="G23" s="11">
        <f t="shared" si="0"/>
        <v>107</v>
      </c>
      <c r="H23" s="12">
        <f>SUMPRODUCT(G24:G26,H24:H26)/SUM(G24:G26)</f>
        <v>0.9514124293785311</v>
      </c>
      <c r="I23" s="9" t="str">
        <f t="shared" si="1"/>
        <v>In progress</v>
      </c>
      <c r="J23" s="13" t="s">
        <v>67</v>
      </c>
      <c r="K23" s="14">
        <f t="shared" si="2"/>
        <v>46143</v>
      </c>
      <c r="L23" s="15">
        <f t="shared" si="3"/>
        <v>107</v>
      </c>
      <c r="M23" s="15">
        <f t="shared" si="4"/>
        <v>102</v>
      </c>
      <c r="N23" s="15">
        <f t="shared" si="5"/>
        <v>5</v>
      </c>
      <c r="O23" s="16" t="str">
        <f t="shared" si="6"/>
        <v>3   Writing and submission</v>
      </c>
    </row>
    <row r="24" spans="1:15" ht="20" customHeight="1" x14ac:dyDescent="0.35">
      <c r="A24" s="17" t="s">
        <v>68</v>
      </c>
      <c r="B24" s="18" t="s">
        <v>69</v>
      </c>
      <c r="C24" s="17" t="s">
        <v>32</v>
      </c>
      <c r="D24" s="17" t="s">
        <v>28</v>
      </c>
      <c r="E24" s="19">
        <v>46143</v>
      </c>
      <c r="F24" s="19">
        <v>46242</v>
      </c>
      <c r="G24" s="20">
        <f t="shared" si="0"/>
        <v>100</v>
      </c>
      <c r="H24" s="21">
        <v>1</v>
      </c>
      <c r="I24" s="17" t="str">
        <f t="shared" si="1"/>
        <v>Complete</v>
      </c>
      <c r="J24" s="22" t="s">
        <v>67</v>
      </c>
      <c r="K24" s="14">
        <f t="shared" si="2"/>
        <v>46143</v>
      </c>
      <c r="L24" s="15">
        <f t="shared" si="3"/>
        <v>100</v>
      </c>
      <c r="M24" s="15">
        <f t="shared" si="4"/>
        <v>100</v>
      </c>
      <c r="N24" s="15">
        <f t="shared" si="5"/>
        <v>0</v>
      </c>
      <c r="O24" s="16" t="str">
        <f t="shared" si="6"/>
        <v>3.1   Thesis drafting</v>
      </c>
    </row>
    <row r="25" spans="1:15" ht="20" customHeight="1" x14ac:dyDescent="0.35">
      <c r="A25" s="17" t="s">
        <v>70</v>
      </c>
      <c r="B25" s="18" t="s">
        <v>71</v>
      </c>
      <c r="C25" s="17" t="s">
        <v>32</v>
      </c>
      <c r="D25" s="17" t="s">
        <v>68</v>
      </c>
      <c r="E25" s="19">
        <v>46174</v>
      </c>
      <c r="F25" s="19">
        <v>46249</v>
      </c>
      <c r="G25" s="20">
        <f t="shared" si="0"/>
        <v>76</v>
      </c>
      <c r="H25" s="21">
        <v>0.9</v>
      </c>
      <c r="I25" s="17" t="str">
        <f t="shared" si="1"/>
        <v>In progress</v>
      </c>
      <c r="J25" s="22" t="s">
        <v>72</v>
      </c>
      <c r="K25" s="14">
        <f t="shared" si="2"/>
        <v>46174</v>
      </c>
      <c r="L25" s="15">
        <f t="shared" si="3"/>
        <v>76</v>
      </c>
      <c r="M25" s="15">
        <f t="shared" si="4"/>
        <v>68</v>
      </c>
      <c r="N25" s="15">
        <f t="shared" si="5"/>
        <v>8</v>
      </c>
      <c r="O25" s="16" t="str">
        <f t="shared" si="6"/>
        <v>3.2   Corrections, documentation and submission</v>
      </c>
    </row>
    <row r="26" spans="1:15" ht="20" customHeight="1" x14ac:dyDescent="0.35">
      <c r="A26" s="17" t="s">
        <v>73</v>
      </c>
      <c r="B26" s="18" t="s">
        <v>74</v>
      </c>
      <c r="C26" s="17" t="s">
        <v>39</v>
      </c>
      <c r="D26" s="17" t="s">
        <v>70</v>
      </c>
      <c r="E26" s="19">
        <v>46249</v>
      </c>
      <c r="F26" s="19">
        <v>46249</v>
      </c>
      <c r="G26" s="20">
        <f t="shared" si="0"/>
        <v>1</v>
      </c>
      <c r="H26" s="21">
        <v>0</v>
      </c>
      <c r="I26" s="17" t="str">
        <f t="shared" si="1"/>
        <v>Not started</v>
      </c>
      <c r="J26" s="22" t="s">
        <v>28</v>
      </c>
      <c r="K26" s="14">
        <f t="shared" si="2"/>
        <v>46246</v>
      </c>
      <c r="L26" s="15">
        <f t="shared" si="3"/>
        <v>6</v>
      </c>
      <c r="M26" s="15">
        <f t="shared" si="4"/>
        <v>0</v>
      </c>
      <c r="N26" s="15">
        <f t="shared" si="5"/>
        <v>6</v>
      </c>
      <c r="O26" s="16" t="str">
        <f t="shared" si="6"/>
        <v>M4   Thesis submission</v>
      </c>
    </row>
    <row r="28" spans="1:15" x14ac:dyDescent="0.35">
      <c r="A28" s="23" t="s">
        <v>75</v>
      </c>
    </row>
    <row r="29" spans="1:15" x14ac:dyDescent="0.35">
      <c r="A29" s="24" t="s">
        <v>76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5" x14ac:dyDescent="0.35">
      <c r="A30" s="24" t="s">
        <v>77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x14ac:dyDescent="0.35">
      <c r="A31" s="24" t="s">
        <v>78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x14ac:dyDescent="0.35">
      <c r="A32" s="24" t="s">
        <v>79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1:15" x14ac:dyDescent="0.35">
      <c r="A33" s="24" t="s">
        <v>80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</sheetData>
  <mergeCells count="15">
    <mergeCell ref="A33:O33"/>
    <mergeCell ref="A5:B5"/>
    <mergeCell ref="G5:H5"/>
    <mergeCell ref="E5:F5"/>
    <mergeCell ref="A32:O32"/>
    <mergeCell ref="A31:O31"/>
    <mergeCell ref="G6:H6"/>
    <mergeCell ref="A6:B6"/>
    <mergeCell ref="A30:O30"/>
    <mergeCell ref="A29:O29"/>
    <mergeCell ref="E6:F6"/>
    <mergeCell ref="A7:B7"/>
    <mergeCell ref="G7:H7"/>
    <mergeCell ref="E7:F7"/>
    <mergeCell ref="K8:O8"/>
  </mergeCells>
  <dataValidations count="1">
    <dataValidation type="list" sqref="C10:C26" xr:uid="{00000000-0002-0000-0000-000000000000}">
      <formula1>"Phase,Task,Milestone"</formula1>
    </dataValidation>
  </dataValidations>
  <pageMargins left="0.75" right="0.75" top="1" bottom="1" header="0.5" footer="0.5"/>
  <pageSetup paperSize="9" scale="58" fitToHeight="0" orientation="landscape" r:id="rId1"/>
  <rowBreaks count="1" manualBreakCount="1">
    <brk id="34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Plan</vt:lpstr>
      <vt:lpstr>'Project Plan'!Print_Area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Victoire Chimundu</cp:lastModifiedBy>
  <dcterms:created xsi:type="dcterms:W3CDTF">2026-08-10T12:27:15Z</dcterms:created>
  <dcterms:modified xsi:type="dcterms:W3CDTF">2026-08-10T12:29:15Z</dcterms:modified>
</cp:coreProperties>
</file>